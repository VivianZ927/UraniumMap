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iwei\Desktop\Mining\"/>
    </mc:Choice>
  </mc:AlternateContent>
  <xr:revisionPtr revIDLastSave="0" documentId="13_ncr:1_{24B018EC-E4BC-4DB7-9D0E-EDCAAB874B71}" xr6:coauthVersionLast="47" xr6:coauthVersionMax="47" xr10:uidLastSave="{00000000-0000-0000-0000-000000000000}"/>
  <bookViews>
    <workbookView xWindow="4190" yWindow="4110" windowWidth="19200" windowHeight="11170" xr2:uid="{00000000-000D-0000-FFFF-FFFF00000000}"/>
  </bookViews>
  <sheets>
    <sheet name="Mines" sheetId="1" r:id="rId1"/>
    <sheet name="README" sheetId="2" r:id="rId2"/>
  </sheets>
  <definedNames>
    <definedName name="_xlnm._FilterDatabase" localSheetId="0" hidden="1">Mines!$A$1:$R$26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6" i="1"/>
</calcChain>
</file>

<file path=xl/sharedStrings.xml><?xml version="1.0" encoding="utf-8"?>
<sst xmlns="http://schemas.openxmlformats.org/spreadsheetml/2006/main" count="337" uniqueCount="258">
  <si>
    <t>Site</t>
  </si>
  <si>
    <t>Country</t>
  </si>
  <si>
    <t>Region/Area</t>
  </si>
  <si>
    <t>Type</t>
  </si>
  <si>
    <t>Latitude</t>
  </si>
  <si>
    <t>Longitude</t>
  </si>
  <si>
    <t>Status</t>
  </si>
  <si>
    <t>Closed year (numeric)</t>
  </si>
  <si>
    <t>Closed timing (as reported)</t>
  </si>
  <si>
    <t>Years active / key dates</t>
  </si>
  <si>
    <t>Uranium activity / why included</t>
  </si>
  <si>
    <t>Coordinate source</t>
  </si>
  <si>
    <t>Info/closure sources (URLs)</t>
  </si>
  <si>
    <t>Notes</t>
  </si>
  <si>
    <t>Coordinate accuracy note</t>
  </si>
  <si>
    <t>OpenStreetMap link</t>
  </si>
  <si>
    <t>Last updated</t>
  </si>
  <si>
    <t>South Terras Mine (Resugga &amp; Tolgarrick / Uranium Mine)</t>
  </si>
  <si>
    <t>United Kingdom</t>
  </si>
  <si>
    <t>St Stephen-in-Brannel, Cornwall, England</t>
  </si>
  <si>
    <t>Mine</t>
  </si>
  <si>
    <t>Abandoned / closed</t>
  </si>
  <si>
    <t>Closed (mining ceased) 1930</t>
  </si>
  <si>
    <t>Uranium encountered 1873; stoping 1878; radium recovery 1922–1925</t>
  </si>
  <si>
    <t>One of the few UK mines worked commercially for uranium; later radium recovery</t>
  </si>
  <si>
    <t>https://www.mindat.org/loc-1327.html</t>
  </si>
  <si>
    <t>https://webapps.bgs.ac.uk/memoirs/docs/B01793.html
https://www.mindat.org/loc-1327.html
https://geoguide.scottishgeologytrust.org/p/gcr36/gcr36_southterrasmine</t>
  </si>
  <si>
    <t>Mindat provides coordinates; BGS memoir reports closure in 1930.</t>
  </si>
  <si>
    <t>https://www.openstreetmap.org/?mlat=50.33528&amp;mlon=-4.90453#map=14/50.33528/-4.90453</t>
  </si>
  <si>
    <t>2026-02-12</t>
  </si>
  <si>
    <t>Wheal Trenwith (Uranium Mine)</t>
  </si>
  <si>
    <t>St Ives, Cornwall, England</t>
  </si>
  <si>
    <t>Abandoned / built over</t>
  </si>
  <si>
    <t>Abandoned by 1917 (uranium-ore operations ended)</t>
  </si>
  <si>
    <t>Dump reworking 1907; uranium ore produced 1911–1917</t>
  </si>
  <si>
    <t>Documented uranium ore production (pitchblende/uraninite) from dumps and levels</t>
  </si>
  <si>
    <t>https://www.mindat.org/loc-1264.html</t>
  </si>
  <si>
    <t>Mindat lists 694 tons of uranium ore produced (1911–1917).</t>
  </si>
  <si>
    <t>https://www.openstreetmap.org/?mlat=50.20778&amp;mlon=-5.48722#map=14/50.20778/-5.48722</t>
  </si>
  <si>
    <t>Roskrow United Mine</t>
  </si>
  <si>
    <t>Perranarworthal, Cornwall, England</t>
  </si>
  <si>
    <t>Closed / abandoned</t>
  </si>
  <si>
    <t>Worked 1860–1870; re-worked 1912 (no output records)</t>
  </si>
  <si>
    <t>Worked 1860–1870; re-worked 1912</t>
  </si>
  <si>
    <t>Recorded as producing silver and uranium (historic record)</t>
  </si>
  <si>
    <t>https://www.mindat.org/loc-931.html</t>
  </si>
  <si>
    <t>https://www.openstreetmap.org/?mlat=50.19694&amp;mlon=-5.1375#map=14/50.19694/-5.1375</t>
  </si>
  <si>
    <t>Wheal Edward (Botallack)</t>
  </si>
  <si>
    <t>Botallack, St Just, Cornwall, England</t>
  </si>
  <si>
    <t>Abandoned</t>
  </si>
  <si>
    <t>Closed after 1893 (district disaster period)</t>
  </si>
  <si>
    <t>Uranium ore reportedly produced 1878 (5 cwt)</t>
  </si>
  <si>
    <t>Historic report of uranium ore production (small quantity); uranium minerals recorded</t>
  </si>
  <si>
    <t>https://www.mindat.org/loc-888.html</t>
  </si>
  <si>
    <t>https://www.mindat.org/loc-888.html
https://nmrs.org.uk/mines-map/metal/cornwall-devon-mines/st-just-area/wheal-edward/</t>
  </si>
  <si>
    <t>https://www.openstreetmap.org/?mlat=50.13667&amp;mlon=-5.69333#map=14/50.13667/-5.69333</t>
  </si>
  <si>
    <t>Wheal Owles</t>
  </si>
  <si>
    <t>Closed after 1893 disaster</t>
  </si>
  <si>
    <t>Active as tin mine; disaster 1893; later uranium interest in district</t>
  </si>
  <si>
    <t>Uranium minerals recorded; included because uranium/pitchblende interest documented in Botallack district</t>
  </si>
  <si>
    <t>https://www.mindat.org/loc-1309.html</t>
  </si>
  <si>
    <t>https://www.mindat.org/loc-1309.html
https://www.cornishmining.org.uk/media/pdfs/Audio/Botallack_Audio_Trail_Delve_Deeper.pdf
https://en.wikipedia.org/wiki/Wheal_Owles</t>
  </si>
  <si>
    <t>https://www.openstreetmap.org/?mlat=50.13417&amp;mlon=-5.68778#map=14/50.13417/-5.68778</t>
  </si>
  <si>
    <t>East Pool and Agar Mine (East Pool Mine)</t>
  </si>
  <si>
    <t>Pool, Cornwall, England</t>
  </si>
  <si>
    <t>Mine / heritage site</t>
  </si>
  <si>
    <t>Closed (heritage site)</t>
  </si>
  <si>
    <t>Mining stopped March 1945</t>
  </si>
  <si>
    <t>Worked early 18th c.–1945</t>
  </si>
  <si>
    <t>Small amounts of uranium ores reported among by-products</t>
  </si>
  <si>
    <t>https://www.mindat.org/loc-990.html</t>
  </si>
  <si>
    <t>https://www.mindat.org/loc-990.html
https://www.nationaltrust.org.uk/visit/cornwall/east-pool-mine/history-of-east-pool-mine
https://en.wikipedia.org/wiki/East_Pool_mine</t>
  </si>
  <si>
    <t>https://www.openstreetmap.org/?mlat=50.22816&amp;mlon=-5.2642#map=14/50.22816/-5.2642</t>
  </si>
  <si>
    <t>Gunnislake Clitters Mine (Clitters United Mines)</t>
  </si>
  <si>
    <t>Gunnislake, Calstock, Cornwall, England</t>
  </si>
  <si>
    <t>Inactive / abandoned</t>
  </si>
  <si>
    <t>Final closure reported as late 1920s (exact year varies by source); earlier closure phase 1889</t>
  </si>
  <si>
    <t>Multiple phases; major closure 1889; later phases into early 20th century</t>
  </si>
  <si>
    <t>Uranium minerals recorded in the wider Clitters United mining area (e.g., Old Gunnislake torbernite occurrences)</t>
  </si>
  <si>
    <t>https://www.mindat.org/loc-878.html</t>
  </si>
  <si>
    <t>https://www.mindat.org/loc-878.html
https://historicengland.org.uk/listing/the-list/list-entry/1017088
https://www.heritagegateway.org.uk/Gateway/Results_Single.aspx?resourceID=19191&amp;uid=438041</t>
  </si>
  <si>
    <t>Historic England listing provides detailed history; Heritage Gateway notes 'late 1920s' final closure wording.</t>
  </si>
  <si>
    <t>https://www.openstreetmap.org/?mlat=50.52583&amp;mlon=-4.22778#map=14/50.52583/-4.22778</t>
  </si>
  <si>
    <t>Old Gunnislake Mine (Clitters United Mines)</t>
  </si>
  <si>
    <t>Built over / inactive</t>
  </si>
  <si>
    <t>Associated with Clitters United Mines; final closure often described as late 1920s</t>
  </si>
  <si>
    <t>Part of broader Clitters United mining landscape</t>
  </si>
  <si>
    <t>Known locality for torbernite (uranium mineral) in the district</t>
  </si>
  <si>
    <t>https://www.mindat.org/loc-882.html</t>
  </si>
  <si>
    <t>https://www.mindat.org/loc-882.html
https://historicengland.org.uk/listing/the-list/list-entry/1017088</t>
  </si>
  <si>
    <t>https://www.openstreetmap.org/?mlat=50.525&amp;mlon=-4.215#map=14/50.525/-4.215</t>
  </si>
  <si>
    <t>Kingswood Mine (West Buckfastleigh)</t>
  </si>
  <si>
    <t>Teignbridge, Devon, England</t>
  </si>
  <si>
    <t>Mine / old workings</t>
  </si>
  <si>
    <t>Inactive</t>
  </si>
  <si>
    <t>Exploration adit driven 1918–1920 (no sustained production reported)</t>
  </si>
  <si>
    <t>Adit driven 1918–1920</t>
  </si>
  <si>
    <t>Uraninite recorded; included as uranium-bearing mine workings</t>
  </si>
  <si>
    <t>https://www.mindat.org/loc-1516.html</t>
  </si>
  <si>
    <t>https://www.openstreetmap.org/?mlat=50.48333&amp;mlon=-3.81417#map=14/50.48333/-3.81417</t>
  </si>
  <si>
    <t>Wheal Gorland</t>
  </si>
  <si>
    <t>St Day, Cornwall, England</t>
  </si>
  <si>
    <t>Closed for the last time 1909</t>
  </si>
  <si>
    <t>Reworked 1906–1909 (tin &amp; tungsten); earlier copper operations</t>
  </si>
  <si>
    <t>Famous for uranium minerals (e.g., torbernite/metatorbernite/bassetite-related district minerals)</t>
  </si>
  <si>
    <t>https://www.mindat.org/loc-939.html</t>
  </si>
  <si>
    <t>https://www.mindat.org/loc-939.html
https://en.wikipedia.org/wiki/Wheal_Gorland</t>
  </si>
  <si>
    <t>https://www.openstreetmap.org/?mlat=50.24167&amp;mlon=-5.18389#map=14/50.24167/-5.18389</t>
  </si>
  <si>
    <t>Wheal Basset (Basset Mines)</t>
  </si>
  <si>
    <t>Carnkie, Carn Brea, Cornwall, England</t>
  </si>
  <si>
    <t>Basset Mines shut down Dec 1918 (company-level closure)</t>
  </si>
  <si>
    <t>Basset Mines company operated 1896–1918</t>
  </si>
  <si>
    <t>Type locality for bassetite (uranium phosphate); uranium minerals recorded</t>
  </si>
  <si>
    <t>https://www.mindat.org/loc-1009.html</t>
  </si>
  <si>
    <t>https://www.mindat.org/loc-1009.html
https://en.wikipedia.org/wiki/Basset_Mines</t>
  </si>
  <si>
    <t>Closure date refers to combined Basset Mines operation (company-level).</t>
  </si>
  <si>
    <t>https://www.openstreetmap.org/?mlat=50.21377&amp;mlon=-5.23717#map=14/50.21377/-5.23717</t>
  </si>
  <si>
    <t>Rožná III Mine (R-3 Jasan) – Rožná deposit</t>
  </si>
  <si>
    <t>Czech Republic</t>
  </si>
  <si>
    <t>Rožná / Vysočina Region</t>
  </si>
  <si>
    <t>Shaft / mine</t>
  </si>
  <si>
    <t>Closed (last Czech uranium mine area)</t>
  </si>
  <si>
    <t>Mine closed 2017 (Rožná operations ended 2016–2017 depending on source)</t>
  </si>
  <si>
    <t>Uranium mining in area 1957–2016/2017</t>
  </si>
  <si>
    <t>Last uranium mining operation in Czech Republic (Rožná area)</t>
  </si>
  <si>
    <t>https://www.mindat.org/loc-135188.html</t>
  </si>
  <si>
    <t>https://www.mindat.org/loc-135188.html
https://world-nuclear.org/information-library/country-profiles/countries-a-f/czech-republic</t>
  </si>
  <si>
    <t>Mindat lists this as an active shaft historically; verify mine-closure interpretation for specific shaft vs. overall mine.</t>
  </si>
  <si>
    <t>https://www.openstreetmap.org/?mlat=49.49472&amp;mlon=16.215#map=14/49.49472/16.215</t>
  </si>
  <si>
    <t>Mine 388 (Königstein uranium mine)</t>
  </si>
  <si>
    <t>Germany</t>
  </si>
  <si>
    <t>Königstein / Saxony</t>
  </si>
  <si>
    <t>Closed / remediation</t>
  </si>
  <si>
    <t>Uranium mined 1967–1991 (incl. ISL); production ceased around 1990 with Wismut</t>
  </si>
  <si>
    <t>1967–1991 (per Mindat)</t>
  </si>
  <si>
    <t>Major Wismut uranium mine; later mine-water treatment and remediation</t>
  </si>
  <si>
    <t>https://www.mindat.org/loc-30986.html</t>
  </si>
  <si>
    <t>https://www.mindat.org/loc-30986.html
https://en.wikipedia.org/wiki/Wismut_(company)
https://www.wismut.de/en/locations/experience-wismut/unesco-world-heritage</t>
  </si>
  <si>
    <t>https://www.openstreetmap.org/?mlat=50.91341&amp;mlon=14.03854#map=14/50.91341/14.03854</t>
  </si>
  <si>
    <t>Lichtenberg open cast (Ronneburg uranium mining area)</t>
  </si>
  <si>
    <t>Ronneburg / Thuringia</t>
  </si>
  <si>
    <t>Open-cast mine</t>
  </si>
  <si>
    <t>Closed / reclaimed</t>
  </si>
  <si>
    <t>Part of Wismut operations; uranium mining ceased Dec 1990 (Germany-wide Wismut)</t>
  </si>
  <si>
    <t>Wismut era (mid-20th c.–1990)</t>
  </si>
  <si>
    <t>Major Wismut mining area and later large remediation project</t>
  </si>
  <si>
    <t>https://www.mindat.org/loc-13506.html</t>
  </si>
  <si>
    <t>https://www.mindat.org/loc-13506.html
https://en.wikipedia.org/wiki/Wismut_(company)</t>
  </si>
  <si>
    <t>https://www.openstreetmap.org/?mlat=50.85556&amp;mlon=12.16611#map=14/50.85556/12.16611</t>
  </si>
  <si>
    <t>Shaft 366 (Alberoda / Aue-Bad Schlema uranium area)</t>
  </si>
  <si>
    <t>Aue-Bad Schlema (Alberoda), Saxony</t>
  </si>
  <si>
    <t>Mine area / shaft</t>
  </si>
  <si>
    <t>Uranium mining ceased Dec 1990 (Wismut)</t>
  </si>
  <si>
    <t>Wismut era (approx. 1947–1990)</t>
  </si>
  <si>
    <t>Wismut uranium mining district (Erzgebirge/Ore Mountains)</t>
  </si>
  <si>
    <t>https://www.mindat.org/loc-7760.html</t>
  </si>
  <si>
    <t>https://www.mindat.org/loc-7760.html
https://en.wikipedia.org/wiki/Wismut_(company)</t>
  </si>
  <si>
    <t>https://www.openstreetmap.org/?mlat=50.61748&amp;mlon=12.70508#map=14/50.61748/12.70508</t>
  </si>
  <si>
    <t>Jouac uranium mine area (commune location)</t>
  </si>
  <si>
    <t>France</t>
  </si>
  <si>
    <t>Jouac, Haute-Vienne, Nouvelle-Aquitaine</t>
  </si>
  <si>
    <t>Mine area / commune</t>
  </si>
  <si>
    <t>Closed</t>
  </si>
  <si>
    <t>France’s last uranium mine closed 2001 (Jouac)</t>
  </si>
  <si>
    <t>National uranium mining ended 2001</t>
  </si>
  <si>
    <t>Last uranium mining site in France (closure marker)</t>
  </si>
  <si>
    <t>https://www.france-voyage.com/cities-towns/jouac-34535.htm</t>
  </si>
  <si>
    <t>https://www.neimagazine.com/news/no-more-french-uranium/
https://www.icmm.com/en-gb/case-studies/2021/environmental-stewardship/orano-addressing-impacts-on-biodiversity-and-ecosystems
https://www.france-voyage.com/cities-towns/jouac-34535.htm</t>
  </si>
  <si>
    <t>Coordinates are for the commune; mine workings may be nearby.</t>
  </si>
  <si>
    <t>https://www.openstreetmap.org/?mlat=46.355508&amp;mlon=1.2629999#map=14/46.355508/1.2629999</t>
  </si>
  <si>
    <t>Águila area (Mina Fé) – Saelices el Chico uranium area</t>
  </si>
  <si>
    <t>Spain</t>
  </si>
  <si>
    <t>Saelices el Chico, Salamanca, Castile and León</t>
  </si>
  <si>
    <t>Mine area / deposit area</t>
  </si>
  <si>
    <t>Spanish uranium mining ended around 2000 (Saelices el Chico area)</t>
  </si>
  <si>
    <t>Historic uranium mining/processing area (Salamanca province)</t>
  </si>
  <si>
    <t>https://www.mindat.org/loc-203253.html</t>
  </si>
  <si>
    <t>https://www.mindat.org/loc-203253.html
https://world-nuclear.org/information-library/country-profiles/countries-o-s/spain</t>
  </si>
  <si>
    <t>Coordinate is for the Águila/Mina Fé area point listed by Mindat.</t>
  </si>
  <si>
    <t>https://www.openstreetmap.org/?mlat=40.64194&amp;mlon=-6.61944#map=14/40.64194/-6.61944</t>
  </si>
  <si>
    <t>Urgeiriça Mines</t>
  </si>
  <si>
    <t>Portugal</t>
  </si>
  <si>
    <t>Canas de Senhorim, Nelas, Viseu</t>
  </si>
  <si>
    <t>Mine complex</t>
  </si>
  <si>
    <t>Worked since 1913; operations ended 2001 (widely cited)</t>
  </si>
  <si>
    <t>Portugal’s best-known uranium mining/milling complex</t>
  </si>
  <si>
    <t>https://www.mindat.org/loc-52610.html
https://en.wikipedia.org/wiki/Urgeiri%C3%A7a
https://www-pub.iaea.org/MTCD/Publications/PDF/Pub1228_web.pdf</t>
  </si>
  <si>
    <t>Mindat link uses maps page for explicit decimal degrees.</t>
  </si>
  <si>
    <t>https://www.openstreetmap.org/?mlat=40.51305556&amp;mlon=-7.89583333#map=14/40.51305556/-7.89583333</t>
  </si>
  <si>
    <t>Kővágószőlős Uranium Mine</t>
  </si>
  <si>
    <t>Hungary</t>
  </si>
  <si>
    <t>Kővágótöttös / Pécs District, Baranya County</t>
  </si>
  <si>
    <t>Hungarian uranium mining ended 1997 (Mecsek)</t>
  </si>
  <si>
    <t>Main Hungarian uranium mining site (Mecsek region)</t>
  </si>
  <si>
    <t>https://www.mindat.org/maps.php?id=12683</t>
  </si>
  <si>
    <t>https://www.mindat.org/loc-12683.html
https://world-nuclear.org/information-library/country-profiles/countries-g-n/hungary</t>
  </si>
  <si>
    <t>https://www.openstreetmap.org/?mlat=46.08222&amp;mlon=18.12417#map=14/46.08222/18.12417</t>
  </si>
  <si>
    <t>Buhovo Uranium Mine</t>
  </si>
  <si>
    <t>Bulgaria</t>
  </si>
  <si>
    <t>Buhovo, Sofia City Province</t>
  </si>
  <si>
    <t>Uranium mining halted nationally 1992 (mine now abandoned)</t>
  </si>
  <si>
    <t>Major Bulgarian uranium site (legacy mining)</t>
  </si>
  <si>
    <t>https://www.mindat.org/loc-341766.html</t>
  </si>
  <si>
    <t>https://www.mindat.org/loc-341766.html
https://www.iaea.org/sites/default/files/bulgaria-jc-nr-4th-rm-2012-en.pdf</t>
  </si>
  <si>
    <t>https://www.openstreetmap.org/?mlat=42.75691&amp;mlon=23.58009#map=14/42.75691/23.58009</t>
  </si>
  <si>
    <t>Eleshnitsa Mine</t>
  </si>
  <si>
    <t>Razlog Municipality, Blagoevgrad Province</t>
  </si>
  <si>
    <t>Uranium mining halted nationally 1992</t>
  </si>
  <si>
    <t>Reported operation 1955–1992 (various sources)</t>
  </si>
  <si>
    <t>Bulgarian uranium mine (legacy)</t>
  </si>
  <si>
    <t>https://www.mindat.org/loc-439270.html</t>
  </si>
  <si>
    <t>https://www.mindat.org/loc-439270.html
https://www.iaea.org/sites/default/files/bulgaria-jc-nr-4th-rm-2012-en.pdf</t>
  </si>
  <si>
    <t>https://www.openstreetmap.org/?mlat=41.85694&amp;mlon=23.64#map=14/41.85694/23.64</t>
  </si>
  <si>
    <t>Crucea–Botușana uranium mine area (Crucea commune)</t>
  </si>
  <si>
    <t>Romania</t>
  </si>
  <si>
    <t>Crucea, Suceava County</t>
  </si>
  <si>
    <t>Not producing (reported stoppage)</t>
  </si>
  <si>
    <t>Reported stoppage June 2021 (some sources cite earlier cessation 2017)</t>
  </si>
  <si>
    <t>Romania’s principal uranium mine area (recent operations)</t>
  </si>
  <si>
    <t>https://www.mindat.org/feature-680090.html</t>
  </si>
  <si>
    <t>Coordinates are for the commune; mine workings are within the commune area.</t>
  </si>
  <si>
    <t>https://www.openstreetmap.org/?mlat=47.35&amp;mlon=25.61667#map=14/47.35/25.61667</t>
  </si>
  <si>
    <t>Ingulska uranium mine</t>
  </si>
  <si>
    <t>Ukraine</t>
  </si>
  <si>
    <t>Central Ukrainian Uranium Province (Kirovohrad area)</t>
  </si>
  <si>
    <t>One of Ukraine’s key uranium mines</t>
  </si>
  <si>
    <t>https://www.mindat.org/loc-411635.html</t>
  </si>
  <si>
    <t>https://www.openstreetmap.org/?mlat=48.45&amp;mlon=32.3#map=14/48.45/32.3</t>
  </si>
  <si>
    <t>Novokostyantynivska uranium mine</t>
  </si>
  <si>
    <t>https://www.mindat.org/loc-411636.html</t>
  </si>
  <si>
    <t>Mindat marks coordinates as estimated (~1 km margin of error).</t>
  </si>
  <si>
    <t>https://www.openstreetmap.org/?mlat=48.0&amp;mlon=33.0#map=14/48.0/33.0</t>
  </si>
  <si>
    <t>Smoline / Kirovohrad Oblast</t>
  </si>
  <si>
    <t>Decommissioning / closure reported</t>
  </si>
  <si>
    <t>Major Ukrainian uranium mine (Vatutinske deposit area)</t>
  </si>
  <si>
    <t>https://portergeo.com.au/database/mineinfo.php?mineid=mn1310</t>
  </si>
  <si>
    <t>Coordinates from PorterGeo database.</t>
  </si>
  <si>
    <t>https://www.openstreetmap.org/?mlat=48.58361&amp;mlon=31.27806#map=14/48.58361/31.27806</t>
  </si>
  <si>
    <t>Uranium Mines (UK &amp; Europe) – Locations &amp; Status</t>
  </si>
  <si>
    <t/>
  </si>
  <si>
    <t>How to use:</t>
  </si>
  <si>
    <t>• Sheet 'Mines' contains one row per mine/site/district with decimal latitude/longitude, status, closure timing, and source links.</t>
  </si>
  <si>
    <t>• 'Coordinate source' is the primary reference used for lat/long (often Mindat; sometimes other references).</t>
  </si>
  <si>
    <t>• 'Info/closure sources (URLs)' contains additional links supporting closure/status and background facts. Links may be separated by line breaks.</t>
  </si>
  <si>
    <t>• 'Closed year (numeric)' is left blank when sources only provide an imprecise timeframe (e.g., “late 1920s”). Use 'Closed timing (as reported)'.</t>
  </si>
  <si>
    <t>Notes on precision:</t>
  </si>
  <si>
    <t>• Some coordinates (e.g., certain Ukraine mines) are marked as 'estimated' by the source.</t>
  </si>
  <si>
    <t>• For a few items (e.g., 'mine area / commune'), coordinates refer to the nearest named place when mine workings don’t have a clearly published point coordinate.</t>
  </si>
  <si>
    <t>Last updated: 2026-02-12</t>
  </si>
  <si>
    <t>On December 31, 2003, the Urgeiriça mine was closed, leaving behind large socio-environmental liabilities.</t>
  </si>
  <si>
    <t>https://www.mindat.org/maps.php?id=52610 ; https://ejatlas.org/print/uranium-mining-canas-de-senhorim-portugal</t>
  </si>
  <si>
    <t>https://www.mindat.org/feature-680090.html
https://uatom.org/en/technology-innovation/uranium-facilities-2; https://www.wise-uranium.org/umopeur.html
https://www.nucnet.org/news/energy-plan-sees-long-term-shift-to-nuclear-and-return-to-uranium-mining-11-1-2024</t>
  </si>
  <si>
    <t>N/A</t>
  </si>
  <si>
    <t>Smolinska uranium mine</t>
  </si>
  <si>
    <t>Reported near-closure in late 2010s; decommissioning actions in 2023</t>
  </si>
  <si>
    <t>https://portergeo.com.au/database/mineinfo.php?mineid=mn1310
https://network.bellona.org/content/uploads/sites/3/2017/12/ATOM_UKR_ENGL_05.pdf; https://atomforum.org.ua/en/blogs/sergiy-shovhelia-the-key-task-for-eastern-mining-and-processing-plant-is-to-increase-uranium-concentrate-production/</t>
  </si>
  <si>
    <t>Till Now(Years)</t>
  </si>
  <si>
    <t>Operating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</si>
</sst>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2"/>
      <color theme="10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/>
    </xf>
    <xf numFmtId="164" fontId="0" fillId="0" borderId="0" xfId="0" applyNumberFormat="1" applyAlignment="1">
      <alignment horizontal="right" vertical="top"/>
    </xf>
    <xf numFmtId="0" fontId="0" fillId="0" borderId="0" xfId="0" applyAlignment="1">
      <alignment horizontal="right" vertical="top"/>
    </xf>
    <xf numFmtId="0" fontId="0" fillId="0" borderId="0" xfId="0" applyAlignment="1">
      <alignment vertical="top" wrapText="1"/>
    </xf>
    <xf numFmtId="0" fontId="2" fillId="0" borderId="0" xfId="1"/>
    <xf numFmtId="0" fontId="3" fillId="0" borderId="0" xfId="0" applyFont="1" applyAlignment="1">
      <alignment vertical="top" wrapText="1"/>
    </xf>
    <xf numFmtId="0" fontId="4" fillId="2" borderId="0" xfId="0" applyFont="1" applyFill="1" applyAlignment="1">
      <alignment horizontal="center" vertical="center" wrapText="1"/>
    </xf>
  </cellXfs>
  <cellStyles count="2">
    <cellStyle name="Hyperlink" xfId="1" xr:uid="{00000000-0005-0000-0000-000001000000}"/>
    <cellStyle name="Normal" xfId="0" builtinId="0"/>
  </cellStyles>
  <dxfs count="1">
    <dxf>
      <numFmt numFmtId="0" formatCode="General"/>
      <alignment horizontal="right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UraniumMines" displayName="UraniumMines" ref="A1:R26">
  <autoFilter ref="A1:R26" xr:uid="{00000000-0009-0000-0100-000001000000}"/>
  <tableColumns count="18">
    <tableColumn id="1" xr3:uid="{00000000-0010-0000-0000-000001000000}" name="Site"/>
    <tableColumn id="2" xr3:uid="{00000000-0010-0000-0000-000002000000}" name="Country"/>
    <tableColumn id="3" xr3:uid="{00000000-0010-0000-0000-000003000000}" name="Region/Area"/>
    <tableColumn id="4" xr3:uid="{00000000-0010-0000-0000-000004000000}" name="Type"/>
    <tableColumn id="5" xr3:uid="{00000000-0010-0000-0000-000005000000}" name="Latitude"/>
    <tableColumn id="6" xr3:uid="{00000000-0010-0000-0000-000006000000}" name="Longitude"/>
    <tableColumn id="7" xr3:uid="{00000000-0010-0000-0000-000007000000}" name="Status"/>
    <tableColumn id="8" xr3:uid="{00000000-0010-0000-0000-000008000000}" name="Closed year (numeric)"/>
    <tableColumn id="18" xr3:uid="{BAA9204D-02B1-44B8-A2C0-DB8D26256085}" name="Till Now(Years)" dataDxfId="0">
      <calculatedColumnFormula>2026-H2</calculatedColumnFormula>
    </tableColumn>
    <tableColumn id="9" xr3:uid="{00000000-0010-0000-0000-000009000000}" name="Closed timing (as reported)"/>
    <tableColumn id="10" xr3:uid="{00000000-0010-0000-0000-00000A000000}" name="Years active / key dates"/>
    <tableColumn id="11" xr3:uid="{00000000-0010-0000-0000-00000B000000}" name="Uranium activity / why included"/>
    <tableColumn id="12" xr3:uid="{00000000-0010-0000-0000-00000C000000}" name="Coordinate source"/>
    <tableColumn id="13" xr3:uid="{00000000-0010-0000-0000-00000D000000}" name="Info/closure sources (URLs)"/>
    <tableColumn id="14" xr3:uid="{00000000-0010-0000-0000-00000E000000}" name="Notes"/>
    <tableColumn id="15" xr3:uid="{00000000-0010-0000-0000-00000F000000}" name="Coordinate accuracy note"/>
    <tableColumn id="16" xr3:uid="{00000000-0010-0000-0000-000010000000}" name="OpenStreetMap link"/>
    <tableColumn id="17" xr3:uid="{00000000-0010-0000-0000-000011000000}" name="Last update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www.mindat.org/loc-1327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6"/>
  <sheetViews>
    <sheetView tabSelected="1" topLeftCell="D10" workbookViewId="0">
      <selection activeCell="G26" sqref="G26"/>
    </sheetView>
  </sheetViews>
  <sheetFormatPr defaultRowHeight="14.5" x14ac:dyDescent="0.35"/>
  <cols>
    <col min="1" max="1" width="52" customWidth="1"/>
    <col min="2" max="2" width="18" customWidth="1"/>
    <col min="3" max="3" width="40.26953125" customWidth="1"/>
    <col min="4" max="4" width="30.7265625" customWidth="1"/>
    <col min="5" max="6" width="12" customWidth="1"/>
    <col min="7" max="7" width="28.26953125" customWidth="1"/>
    <col min="8" max="9" width="16" customWidth="1"/>
    <col min="10" max="10" width="28" customWidth="1"/>
    <col min="11" max="11" width="36.6328125" customWidth="1"/>
    <col min="12" max="12" width="42" customWidth="1"/>
    <col min="13" max="13" width="34" customWidth="1"/>
    <col min="14" max="14" width="44" customWidth="1"/>
    <col min="15" max="16" width="28" customWidth="1"/>
    <col min="17" max="17" width="34" customWidth="1"/>
    <col min="18" max="18" width="18" customWidth="1"/>
  </cols>
  <sheetData>
    <row r="1" spans="1:18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8" t="s">
        <v>256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ht="72.5" x14ac:dyDescent="0.35">
      <c r="A2" s="2" t="s">
        <v>17</v>
      </c>
      <c r="B2" s="2" t="s">
        <v>18</v>
      </c>
      <c r="C2" s="2" t="s">
        <v>19</v>
      </c>
      <c r="D2" s="2" t="s">
        <v>20</v>
      </c>
      <c r="E2" s="3">
        <v>50.335279999999997</v>
      </c>
      <c r="F2" s="3">
        <v>-4.9045300000000003</v>
      </c>
      <c r="G2" s="2" t="s">
        <v>21</v>
      </c>
      <c r="H2" s="4">
        <v>1930</v>
      </c>
      <c r="I2" s="4">
        <f t="shared" ref="I2:I26" si="0">2026-H2</f>
        <v>96</v>
      </c>
      <c r="J2" s="5" t="s">
        <v>22</v>
      </c>
      <c r="K2" s="5" t="s">
        <v>23</v>
      </c>
      <c r="L2" s="5" t="s">
        <v>24</v>
      </c>
      <c r="M2" s="6" t="s">
        <v>25</v>
      </c>
      <c r="N2" s="5" t="s">
        <v>26</v>
      </c>
      <c r="O2" s="5" t="s">
        <v>27</v>
      </c>
      <c r="P2" s="5"/>
      <c r="Q2" s="6" t="s">
        <v>28</v>
      </c>
      <c r="R2" s="2" t="s">
        <v>29</v>
      </c>
    </row>
    <row r="3" spans="1:18" ht="43.5" x14ac:dyDescent="0.35">
      <c r="A3" s="2" t="s">
        <v>30</v>
      </c>
      <c r="B3" s="2" t="s">
        <v>18</v>
      </c>
      <c r="C3" s="2" t="s">
        <v>31</v>
      </c>
      <c r="D3" s="2" t="s">
        <v>20</v>
      </c>
      <c r="E3" s="3">
        <v>50.20778</v>
      </c>
      <c r="F3" s="3">
        <v>-5.4872199999999998</v>
      </c>
      <c r="G3" s="2" t="s">
        <v>32</v>
      </c>
      <c r="H3" s="4">
        <v>1917</v>
      </c>
      <c r="I3" s="4">
        <f t="shared" si="0"/>
        <v>109</v>
      </c>
      <c r="J3" s="5" t="s">
        <v>33</v>
      </c>
      <c r="K3" s="5" t="s">
        <v>34</v>
      </c>
      <c r="L3" s="5" t="s">
        <v>35</v>
      </c>
      <c r="M3" s="6" t="s">
        <v>36</v>
      </c>
      <c r="N3" s="5" t="s">
        <v>36</v>
      </c>
      <c r="O3" s="5" t="s">
        <v>37</v>
      </c>
      <c r="P3" s="5"/>
      <c r="Q3" s="6" t="s">
        <v>38</v>
      </c>
      <c r="R3" s="2" t="s">
        <v>29</v>
      </c>
    </row>
    <row r="4" spans="1:18" ht="29" x14ac:dyDescent="0.35">
      <c r="A4" s="2" t="s">
        <v>39</v>
      </c>
      <c r="B4" s="2" t="s">
        <v>18</v>
      </c>
      <c r="C4" s="2" t="s">
        <v>40</v>
      </c>
      <c r="D4" s="2" t="s">
        <v>20</v>
      </c>
      <c r="E4" s="3">
        <v>50.196939999999998</v>
      </c>
      <c r="F4" s="3">
        <v>-5.1375000000000002</v>
      </c>
      <c r="G4" s="2" t="s">
        <v>41</v>
      </c>
      <c r="H4" s="4">
        <v>1870</v>
      </c>
      <c r="I4" s="4">
        <f t="shared" si="0"/>
        <v>156</v>
      </c>
      <c r="J4" s="5" t="s">
        <v>42</v>
      </c>
      <c r="K4" s="5" t="s">
        <v>43</v>
      </c>
      <c r="L4" s="5" t="s">
        <v>44</v>
      </c>
      <c r="M4" s="6" t="s">
        <v>45</v>
      </c>
      <c r="N4" s="5" t="s">
        <v>45</v>
      </c>
      <c r="O4" s="5"/>
      <c r="P4" s="5"/>
      <c r="Q4" s="6" t="s">
        <v>46</v>
      </c>
      <c r="R4" s="2" t="s">
        <v>29</v>
      </c>
    </row>
    <row r="5" spans="1:18" ht="43.5" x14ac:dyDescent="0.35">
      <c r="A5" s="2" t="s">
        <v>47</v>
      </c>
      <c r="B5" s="2" t="s">
        <v>18</v>
      </c>
      <c r="C5" s="2" t="s">
        <v>48</v>
      </c>
      <c r="D5" s="2" t="s">
        <v>20</v>
      </c>
      <c r="E5" s="3">
        <v>50.136670000000002</v>
      </c>
      <c r="F5" s="3">
        <v>-5.6933299999999996</v>
      </c>
      <c r="G5" s="2" t="s">
        <v>49</v>
      </c>
      <c r="H5" s="4">
        <v>1893</v>
      </c>
      <c r="I5" s="4">
        <f t="shared" si="0"/>
        <v>133</v>
      </c>
      <c r="J5" s="5" t="s">
        <v>50</v>
      </c>
      <c r="K5" s="5" t="s">
        <v>51</v>
      </c>
      <c r="L5" s="5" t="s">
        <v>52</v>
      </c>
      <c r="M5" s="6" t="s">
        <v>53</v>
      </c>
      <c r="N5" s="5" t="s">
        <v>54</v>
      </c>
      <c r="O5" s="5"/>
      <c r="P5" s="5"/>
      <c r="Q5" s="6" t="s">
        <v>55</v>
      </c>
      <c r="R5" s="2" t="s">
        <v>29</v>
      </c>
    </row>
    <row r="6" spans="1:18" ht="58" x14ac:dyDescent="0.35">
      <c r="A6" s="2" t="s">
        <v>56</v>
      </c>
      <c r="B6" s="2" t="s">
        <v>18</v>
      </c>
      <c r="C6" s="2" t="s">
        <v>48</v>
      </c>
      <c r="D6" s="2" t="s">
        <v>20</v>
      </c>
      <c r="E6" s="3">
        <v>50.134169999999997</v>
      </c>
      <c r="F6" s="3">
        <v>-5.6877800000000001</v>
      </c>
      <c r="G6" s="2" t="s">
        <v>49</v>
      </c>
      <c r="H6" s="4">
        <v>1893</v>
      </c>
      <c r="I6" s="4">
        <f t="shared" si="0"/>
        <v>133</v>
      </c>
      <c r="J6" s="5" t="s">
        <v>57</v>
      </c>
      <c r="K6" s="5" t="s">
        <v>58</v>
      </c>
      <c r="L6" s="5" t="s">
        <v>59</v>
      </c>
      <c r="M6" s="6" t="s">
        <v>60</v>
      </c>
      <c r="N6" s="5" t="s">
        <v>61</v>
      </c>
      <c r="O6" s="5"/>
      <c r="P6" s="5"/>
      <c r="Q6" s="6" t="s">
        <v>62</v>
      </c>
      <c r="R6" s="2" t="s">
        <v>29</v>
      </c>
    </row>
    <row r="7" spans="1:18" ht="58" x14ac:dyDescent="0.35">
      <c r="A7" s="2" t="s">
        <v>63</v>
      </c>
      <c r="B7" s="2" t="s">
        <v>18</v>
      </c>
      <c r="C7" s="2" t="s">
        <v>64</v>
      </c>
      <c r="D7" s="2" t="s">
        <v>65</v>
      </c>
      <c r="E7" s="3">
        <v>50.228160000000003</v>
      </c>
      <c r="F7" s="3">
        <v>-5.2641999999999998</v>
      </c>
      <c r="G7" s="2" t="s">
        <v>66</v>
      </c>
      <c r="H7" s="4">
        <v>1945</v>
      </c>
      <c r="I7" s="4">
        <f t="shared" si="0"/>
        <v>81</v>
      </c>
      <c r="J7" s="5" t="s">
        <v>67</v>
      </c>
      <c r="K7" s="5" t="s">
        <v>68</v>
      </c>
      <c r="L7" s="5" t="s">
        <v>69</v>
      </c>
      <c r="M7" s="6" t="s">
        <v>70</v>
      </c>
      <c r="N7" s="5" t="s">
        <v>71</v>
      </c>
      <c r="O7" s="5"/>
      <c r="P7" s="5"/>
      <c r="Q7" s="6" t="s">
        <v>72</v>
      </c>
      <c r="R7" s="2" t="s">
        <v>29</v>
      </c>
    </row>
    <row r="8" spans="1:18" ht="72.5" x14ac:dyDescent="0.35">
      <c r="A8" s="2" t="s">
        <v>73</v>
      </c>
      <c r="B8" s="2" t="s">
        <v>18</v>
      </c>
      <c r="C8" s="2" t="s">
        <v>74</v>
      </c>
      <c r="D8" s="2" t="s">
        <v>20</v>
      </c>
      <c r="E8" s="3">
        <v>50.525829999999999</v>
      </c>
      <c r="F8" s="3">
        <v>-4.2277800000000001</v>
      </c>
      <c r="G8" s="2" t="s">
        <v>75</v>
      </c>
      <c r="H8" s="4">
        <v>1929</v>
      </c>
      <c r="I8" s="4">
        <f t="shared" si="0"/>
        <v>97</v>
      </c>
      <c r="J8" s="5" t="s">
        <v>76</v>
      </c>
      <c r="K8" s="5" t="s">
        <v>77</v>
      </c>
      <c r="L8" s="5" t="s">
        <v>78</v>
      </c>
      <c r="M8" s="6" t="s">
        <v>79</v>
      </c>
      <c r="N8" s="5" t="s">
        <v>80</v>
      </c>
      <c r="O8" s="5" t="s">
        <v>81</v>
      </c>
      <c r="P8" s="5"/>
      <c r="Q8" s="6" t="s">
        <v>82</v>
      </c>
      <c r="R8" s="2" t="s">
        <v>29</v>
      </c>
    </row>
    <row r="9" spans="1:18" ht="43.5" x14ac:dyDescent="0.35">
      <c r="A9" s="2" t="s">
        <v>83</v>
      </c>
      <c r="B9" s="2" t="s">
        <v>18</v>
      </c>
      <c r="C9" s="2" t="s">
        <v>74</v>
      </c>
      <c r="D9" s="2" t="s">
        <v>20</v>
      </c>
      <c r="E9" s="3">
        <v>50.524999999999999</v>
      </c>
      <c r="F9" s="3">
        <v>-4.2149999999999999</v>
      </c>
      <c r="G9" s="2" t="s">
        <v>84</v>
      </c>
      <c r="H9" s="4">
        <v>1929</v>
      </c>
      <c r="I9" s="4">
        <f t="shared" si="0"/>
        <v>97</v>
      </c>
      <c r="J9" s="5" t="s">
        <v>85</v>
      </c>
      <c r="K9" s="5" t="s">
        <v>86</v>
      </c>
      <c r="L9" s="5" t="s">
        <v>87</v>
      </c>
      <c r="M9" s="6" t="s">
        <v>88</v>
      </c>
      <c r="N9" s="5" t="s">
        <v>89</v>
      </c>
      <c r="O9" s="5"/>
      <c r="P9" s="5"/>
      <c r="Q9" s="6" t="s">
        <v>90</v>
      </c>
      <c r="R9" s="2" t="s">
        <v>29</v>
      </c>
    </row>
    <row r="10" spans="1:18" ht="43.5" x14ac:dyDescent="0.35">
      <c r="A10" s="2" t="s">
        <v>91</v>
      </c>
      <c r="B10" s="2" t="s">
        <v>18</v>
      </c>
      <c r="C10" s="2" t="s">
        <v>92</v>
      </c>
      <c r="D10" s="2" t="s">
        <v>93</v>
      </c>
      <c r="E10" s="3">
        <v>50.483330000000002</v>
      </c>
      <c r="F10" s="3">
        <v>-3.8141699999999998</v>
      </c>
      <c r="G10" s="2" t="s">
        <v>94</v>
      </c>
      <c r="H10" s="4">
        <v>1920</v>
      </c>
      <c r="I10" s="4">
        <f t="shared" si="0"/>
        <v>106</v>
      </c>
      <c r="J10" s="5" t="s">
        <v>95</v>
      </c>
      <c r="K10" s="5" t="s">
        <v>96</v>
      </c>
      <c r="L10" s="5" t="s">
        <v>97</v>
      </c>
      <c r="M10" s="6" t="s">
        <v>98</v>
      </c>
      <c r="N10" s="5" t="s">
        <v>98</v>
      </c>
      <c r="O10" s="5"/>
      <c r="P10" s="5"/>
      <c r="Q10" s="6" t="s">
        <v>99</v>
      </c>
      <c r="R10" s="2" t="s">
        <v>29</v>
      </c>
    </row>
    <row r="11" spans="1:18" ht="43.5" x14ac:dyDescent="0.35">
      <c r="A11" s="2" t="s">
        <v>100</v>
      </c>
      <c r="B11" s="2" t="s">
        <v>18</v>
      </c>
      <c r="C11" s="2" t="s">
        <v>101</v>
      </c>
      <c r="D11" s="2" t="s">
        <v>20</v>
      </c>
      <c r="E11" s="3">
        <v>50.241669999999999</v>
      </c>
      <c r="F11" s="3">
        <v>-5.1838899999999999</v>
      </c>
      <c r="G11" s="2" t="s">
        <v>84</v>
      </c>
      <c r="H11" s="4">
        <v>1909</v>
      </c>
      <c r="I11" s="4">
        <f t="shared" si="0"/>
        <v>117</v>
      </c>
      <c r="J11" s="5" t="s">
        <v>102</v>
      </c>
      <c r="K11" s="5" t="s">
        <v>103</v>
      </c>
      <c r="L11" s="5" t="s">
        <v>104</v>
      </c>
      <c r="M11" s="6" t="s">
        <v>105</v>
      </c>
      <c r="N11" s="5" t="s">
        <v>106</v>
      </c>
      <c r="O11" s="5"/>
      <c r="P11" s="5"/>
      <c r="Q11" s="6" t="s">
        <v>107</v>
      </c>
      <c r="R11" s="2" t="s">
        <v>29</v>
      </c>
    </row>
    <row r="12" spans="1:18" ht="43.5" x14ac:dyDescent="0.35">
      <c r="A12" s="2" t="s">
        <v>108</v>
      </c>
      <c r="B12" s="2" t="s">
        <v>18</v>
      </c>
      <c r="C12" s="2" t="s">
        <v>109</v>
      </c>
      <c r="D12" s="2" t="s">
        <v>20</v>
      </c>
      <c r="E12" s="3">
        <v>50.213769999999997</v>
      </c>
      <c r="F12" s="3">
        <v>-5.2371699999999999</v>
      </c>
      <c r="G12" s="2" t="s">
        <v>49</v>
      </c>
      <c r="H12" s="4">
        <v>1918</v>
      </c>
      <c r="I12" s="4">
        <f t="shared" si="0"/>
        <v>108</v>
      </c>
      <c r="J12" s="5" t="s">
        <v>110</v>
      </c>
      <c r="K12" s="5" t="s">
        <v>111</v>
      </c>
      <c r="L12" s="5" t="s">
        <v>112</v>
      </c>
      <c r="M12" s="6" t="s">
        <v>113</v>
      </c>
      <c r="N12" s="5" t="s">
        <v>114</v>
      </c>
      <c r="O12" s="5" t="s">
        <v>115</v>
      </c>
      <c r="P12" s="5"/>
      <c r="Q12" s="6" t="s">
        <v>116</v>
      </c>
      <c r="R12" s="2" t="s">
        <v>29</v>
      </c>
    </row>
    <row r="13" spans="1:18" ht="58" x14ac:dyDescent="0.35">
      <c r="A13" s="2" t="s">
        <v>117</v>
      </c>
      <c r="B13" s="2" t="s">
        <v>118</v>
      </c>
      <c r="C13" s="2" t="s">
        <v>119</v>
      </c>
      <c r="D13" s="2" t="s">
        <v>120</v>
      </c>
      <c r="E13" s="3">
        <v>49.494720000000001</v>
      </c>
      <c r="F13" s="3">
        <v>16.215</v>
      </c>
      <c r="G13" s="2" t="s">
        <v>121</v>
      </c>
      <c r="H13" s="4">
        <v>2017</v>
      </c>
      <c r="I13" s="4">
        <f t="shared" si="0"/>
        <v>9</v>
      </c>
      <c r="J13" s="5" t="s">
        <v>122</v>
      </c>
      <c r="K13" s="5" t="s">
        <v>123</v>
      </c>
      <c r="L13" s="5" t="s">
        <v>124</v>
      </c>
      <c r="M13" s="6" t="s">
        <v>125</v>
      </c>
      <c r="N13" s="5" t="s">
        <v>126</v>
      </c>
      <c r="O13" s="5"/>
      <c r="P13" s="5" t="s">
        <v>127</v>
      </c>
      <c r="Q13" s="6" t="s">
        <v>128</v>
      </c>
      <c r="R13" s="2" t="s">
        <v>29</v>
      </c>
    </row>
    <row r="14" spans="1:18" ht="58" x14ac:dyDescent="0.35">
      <c r="A14" s="2" t="s">
        <v>129</v>
      </c>
      <c r="B14" s="2" t="s">
        <v>130</v>
      </c>
      <c r="C14" s="2" t="s">
        <v>131</v>
      </c>
      <c r="D14" s="2" t="s">
        <v>20</v>
      </c>
      <c r="E14" s="3">
        <v>50.913409999999999</v>
      </c>
      <c r="F14" s="3">
        <v>14.038539999999999</v>
      </c>
      <c r="G14" s="2" t="s">
        <v>132</v>
      </c>
      <c r="H14" s="4">
        <v>1991</v>
      </c>
      <c r="I14" s="4">
        <f t="shared" si="0"/>
        <v>35</v>
      </c>
      <c r="J14" s="5" t="s">
        <v>133</v>
      </c>
      <c r="K14" s="5" t="s">
        <v>134</v>
      </c>
      <c r="L14" s="5" t="s">
        <v>135</v>
      </c>
      <c r="M14" s="6" t="s">
        <v>136</v>
      </c>
      <c r="N14" s="5" t="s">
        <v>137</v>
      </c>
      <c r="O14" s="5"/>
      <c r="P14" s="5"/>
      <c r="Q14" s="6" t="s">
        <v>138</v>
      </c>
      <c r="R14" s="2" t="s">
        <v>29</v>
      </c>
    </row>
    <row r="15" spans="1:18" ht="43.5" x14ac:dyDescent="0.35">
      <c r="A15" s="2" t="s">
        <v>139</v>
      </c>
      <c r="B15" s="2" t="s">
        <v>130</v>
      </c>
      <c r="C15" s="2" t="s">
        <v>140</v>
      </c>
      <c r="D15" s="2" t="s">
        <v>141</v>
      </c>
      <c r="E15" s="3">
        <v>50.855559999999997</v>
      </c>
      <c r="F15" s="3">
        <v>12.16611</v>
      </c>
      <c r="G15" s="2" t="s">
        <v>142</v>
      </c>
      <c r="H15" s="4">
        <v>1990</v>
      </c>
      <c r="I15" s="4">
        <f t="shared" si="0"/>
        <v>36</v>
      </c>
      <c r="J15" s="5" t="s">
        <v>143</v>
      </c>
      <c r="K15" s="5" t="s">
        <v>144</v>
      </c>
      <c r="L15" s="5" t="s">
        <v>145</v>
      </c>
      <c r="M15" s="6" t="s">
        <v>146</v>
      </c>
      <c r="N15" s="5" t="s">
        <v>147</v>
      </c>
      <c r="O15" s="5"/>
      <c r="P15" s="5"/>
      <c r="Q15" s="6" t="s">
        <v>148</v>
      </c>
      <c r="R15" s="2" t="s">
        <v>29</v>
      </c>
    </row>
    <row r="16" spans="1:18" ht="29" x14ac:dyDescent="0.35">
      <c r="A16" s="2" t="s">
        <v>149</v>
      </c>
      <c r="B16" s="2" t="s">
        <v>130</v>
      </c>
      <c r="C16" s="2" t="s">
        <v>150</v>
      </c>
      <c r="D16" s="2" t="s">
        <v>151</v>
      </c>
      <c r="E16" s="3">
        <v>50.61748</v>
      </c>
      <c r="F16" s="3">
        <v>12.705080000000001</v>
      </c>
      <c r="G16" s="2" t="s">
        <v>132</v>
      </c>
      <c r="H16" s="4">
        <v>1990</v>
      </c>
      <c r="I16" s="4">
        <f t="shared" si="0"/>
        <v>36</v>
      </c>
      <c r="J16" s="5" t="s">
        <v>152</v>
      </c>
      <c r="K16" s="5" t="s">
        <v>153</v>
      </c>
      <c r="L16" s="5" t="s">
        <v>154</v>
      </c>
      <c r="M16" s="6" t="s">
        <v>155</v>
      </c>
      <c r="N16" s="5" t="s">
        <v>156</v>
      </c>
      <c r="O16" s="5"/>
      <c r="P16" s="5"/>
      <c r="Q16" s="6" t="s">
        <v>157</v>
      </c>
      <c r="R16" s="2" t="s">
        <v>29</v>
      </c>
    </row>
    <row r="17" spans="1:18" ht="116" x14ac:dyDescent="0.35">
      <c r="A17" s="2" t="s">
        <v>158</v>
      </c>
      <c r="B17" s="2" t="s">
        <v>159</v>
      </c>
      <c r="C17" s="2" t="s">
        <v>160</v>
      </c>
      <c r="D17" s="2" t="s">
        <v>161</v>
      </c>
      <c r="E17" s="3">
        <v>46.355508</v>
      </c>
      <c r="F17" s="3">
        <v>1.2629999000000001</v>
      </c>
      <c r="G17" s="2" t="s">
        <v>162</v>
      </c>
      <c r="H17" s="4">
        <v>2001</v>
      </c>
      <c r="I17" s="4">
        <f t="shared" si="0"/>
        <v>25</v>
      </c>
      <c r="J17" s="5" t="s">
        <v>163</v>
      </c>
      <c r="K17" s="5" t="s">
        <v>164</v>
      </c>
      <c r="L17" s="5" t="s">
        <v>165</v>
      </c>
      <c r="M17" s="6" t="s">
        <v>166</v>
      </c>
      <c r="N17" s="5" t="s">
        <v>167</v>
      </c>
      <c r="O17" s="5"/>
      <c r="P17" s="5" t="s">
        <v>168</v>
      </c>
      <c r="Q17" s="6" t="s">
        <v>169</v>
      </c>
      <c r="R17" s="2" t="s">
        <v>29</v>
      </c>
    </row>
    <row r="18" spans="1:18" ht="43.5" x14ac:dyDescent="0.35">
      <c r="A18" s="2" t="s">
        <v>170</v>
      </c>
      <c r="B18" s="2" t="s">
        <v>171</v>
      </c>
      <c r="C18" s="2" t="s">
        <v>172</v>
      </c>
      <c r="D18" s="2" t="s">
        <v>173</v>
      </c>
      <c r="E18" s="3">
        <v>40.641939999999998</v>
      </c>
      <c r="F18" s="3">
        <v>-6.61944</v>
      </c>
      <c r="G18" s="2" t="s">
        <v>162</v>
      </c>
      <c r="H18" s="4">
        <v>2000</v>
      </c>
      <c r="I18" s="4">
        <f t="shared" si="0"/>
        <v>26</v>
      </c>
      <c r="J18" s="5" t="s">
        <v>174</v>
      </c>
      <c r="K18" s="5"/>
      <c r="L18" s="5" t="s">
        <v>175</v>
      </c>
      <c r="M18" s="6" t="s">
        <v>176</v>
      </c>
      <c r="N18" s="5" t="s">
        <v>177</v>
      </c>
      <c r="O18" s="5"/>
      <c r="P18" s="5" t="s">
        <v>178</v>
      </c>
      <c r="Q18" s="6" t="s">
        <v>179</v>
      </c>
      <c r="R18" s="2" t="s">
        <v>29</v>
      </c>
    </row>
    <row r="19" spans="1:18" ht="72.5" x14ac:dyDescent="0.35">
      <c r="A19" s="2" t="s">
        <v>180</v>
      </c>
      <c r="B19" s="2" t="s">
        <v>181</v>
      </c>
      <c r="C19" s="2" t="s">
        <v>182</v>
      </c>
      <c r="D19" s="2" t="s">
        <v>183</v>
      </c>
      <c r="E19" s="3">
        <v>40.513055559999998</v>
      </c>
      <c r="F19" s="3">
        <v>-7.8958333300000003</v>
      </c>
      <c r="G19" s="2" t="s">
        <v>162</v>
      </c>
      <c r="H19" s="4">
        <v>2003</v>
      </c>
      <c r="I19" s="4">
        <f t="shared" si="0"/>
        <v>23</v>
      </c>
      <c r="J19" s="5" t="s">
        <v>249</v>
      </c>
      <c r="K19" s="5" t="s">
        <v>184</v>
      </c>
      <c r="L19" s="5" t="s">
        <v>185</v>
      </c>
      <c r="M19" s="6" t="s">
        <v>250</v>
      </c>
      <c r="N19" s="5" t="s">
        <v>186</v>
      </c>
      <c r="O19" s="5" t="s">
        <v>187</v>
      </c>
      <c r="P19" s="5"/>
      <c r="Q19" s="6" t="s">
        <v>188</v>
      </c>
      <c r="R19" s="2" t="s">
        <v>29</v>
      </c>
    </row>
    <row r="20" spans="1:18" ht="43.5" x14ac:dyDescent="0.35">
      <c r="A20" s="2" t="s">
        <v>189</v>
      </c>
      <c r="B20" s="2" t="s">
        <v>190</v>
      </c>
      <c r="C20" s="2" t="s">
        <v>191</v>
      </c>
      <c r="D20" s="2" t="s">
        <v>20</v>
      </c>
      <c r="E20" s="3">
        <v>46.08222</v>
      </c>
      <c r="F20" s="3">
        <v>18.124169999999999</v>
      </c>
      <c r="G20" s="2" t="s">
        <v>162</v>
      </c>
      <c r="H20" s="4">
        <v>1997</v>
      </c>
      <c r="I20" s="4">
        <f t="shared" si="0"/>
        <v>29</v>
      </c>
      <c r="J20" s="5" t="s">
        <v>192</v>
      </c>
      <c r="K20" s="5"/>
      <c r="L20" s="5" t="s">
        <v>193</v>
      </c>
      <c r="M20" s="6" t="s">
        <v>194</v>
      </c>
      <c r="N20" s="5" t="s">
        <v>195</v>
      </c>
      <c r="O20" s="5"/>
      <c r="P20" s="5"/>
      <c r="Q20" s="6" t="s">
        <v>196</v>
      </c>
      <c r="R20" s="2" t="s">
        <v>29</v>
      </c>
    </row>
    <row r="21" spans="1:18" ht="43.5" x14ac:dyDescent="0.35">
      <c r="A21" s="2" t="s">
        <v>197</v>
      </c>
      <c r="B21" s="2" t="s">
        <v>198</v>
      </c>
      <c r="C21" s="2" t="s">
        <v>199</v>
      </c>
      <c r="D21" s="2" t="s">
        <v>141</v>
      </c>
      <c r="E21" s="3">
        <v>42.756909999999998</v>
      </c>
      <c r="F21" s="3">
        <v>23.580089999999998</v>
      </c>
      <c r="G21" s="2" t="s">
        <v>49</v>
      </c>
      <c r="H21" s="4">
        <v>1992</v>
      </c>
      <c r="I21" s="4">
        <f t="shared" si="0"/>
        <v>34</v>
      </c>
      <c r="J21" s="5" t="s">
        <v>200</v>
      </c>
      <c r="K21" s="5"/>
      <c r="L21" s="5" t="s">
        <v>201</v>
      </c>
      <c r="M21" s="6" t="s">
        <v>202</v>
      </c>
      <c r="N21" s="5" t="s">
        <v>203</v>
      </c>
      <c r="O21" s="5"/>
      <c r="P21" s="5"/>
      <c r="Q21" s="6" t="s">
        <v>204</v>
      </c>
      <c r="R21" s="2" t="s">
        <v>29</v>
      </c>
    </row>
    <row r="22" spans="1:18" ht="43.5" x14ac:dyDescent="0.35">
      <c r="A22" s="2" t="s">
        <v>205</v>
      </c>
      <c r="B22" s="2" t="s">
        <v>198</v>
      </c>
      <c r="C22" s="2" t="s">
        <v>206</v>
      </c>
      <c r="D22" s="2" t="s">
        <v>20</v>
      </c>
      <c r="E22" s="3">
        <v>41.856940000000002</v>
      </c>
      <c r="F22" s="3">
        <v>23.64</v>
      </c>
      <c r="G22" s="2" t="s">
        <v>94</v>
      </c>
      <c r="H22" s="4">
        <v>1992</v>
      </c>
      <c r="I22" s="4">
        <f t="shared" si="0"/>
        <v>34</v>
      </c>
      <c r="J22" s="5" t="s">
        <v>207</v>
      </c>
      <c r="K22" s="5" t="s">
        <v>208</v>
      </c>
      <c r="L22" s="5" t="s">
        <v>209</v>
      </c>
      <c r="M22" s="6" t="s">
        <v>210</v>
      </c>
      <c r="N22" s="5" t="s">
        <v>211</v>
      </c>
      <c r="O22" s="5"/>
      <c r="P22" s="5"/>
      <c r="Q22" s="6" t="s">
        <v>212</v>
      </c>
      <c r="R22" s="2" t="s">
        <v>29</v>
      </c>
    </row>
    <row r="23" spans="1:18" ht="101.5" x14ac:dyDescent="0.35">
      <c r="A23" s="2" t="s">
        <v>213</v>
      </c>
      <c r="B23" s="2" t="s">
        <v>214</v>
      </c>
      <c r="C23" s="2" t="s">
        <v>215</v>
      </c>
      <c r="D23" s="2" t="s">
        <v>161</v>
      </c>
      <c r="E23" s="3">
        <v>47.35</v>
      </c>
      <c r="F23" s="3">
        <v>25.616669999999999</v>
      </c>
      <c r="G23" s="2" t="s">
        <v>216</v>
      </c>
      <c r="H23" s="4">
        <v>2021</v>
      </c>
      <c r="I23" s="4">
        <f t="shared" si="0"/>
        <v>5</v>
      </c>
      <c r="J23" s="5" t="s">
        <v>217</v>
      </c>
      <c r="K23" s="5"/>
      <c r="L23" s="5" t="s">
        <v>218</v>
      </c>
      <c r="M23" s="6" t="s">
        <v>219</v>
      </c>
      <c r="N23" s="5" t="s">
        <v>251</v>
      </c>
      <c r="O23" s="5"/>
      <c r="P23" s="5" t="s">
        <v>220</v>
      </c>
      <c r="Q23" s="6" t="s">
        <v>221</v>
      </c>
      <c r="R23" s="2" t="s">
        <v>29</v>
      </c>
    </row>
    <row r="24" spans="1:18" ht="15.5" x14ac:dyDescent="0.35">
      <c r="A24" s="2" t="s">
        <v>222</v>
      </c>
      <c r="B24" s="2" t="s">
        <v>223</v>
      </c>
      <c r="C24" s="2" t="s">
        <v>224</v>
      </c>
      <c r="D24" s="2" t="s">
        <v>20</v>
      </c>
      <c r="E24" s="3">
        <v>48.517000000000003</v>
      </c>
      <c r="F24" s="3">
        <v>32.25</v>
      </c>
      <c r="G24" s="2" t="s">
        <v>257</v>
      </c>
      <c r="H24" s="4" t="s">
        <v>252</v>
      </c>
      <c r="I24" s="4" t="s">
        <v>252</v>
      </c>
      <c r="J24" s="5"/>
      <c r="K24" s="5"/>
      <c r="L24" s="5" t="s">
        <v>225</v>
      </c>
      <c r="M24" s="6" t="s">
        <v>226</v>
      </c>
      <c r="N24" s="5" t="s">
        <v>226</v>
      </c>
      <c r="O24" s="5"/>
      <c r="P24" s="5"/>
      <c r="Q24" s="6" t="s">
        <v>227</v>
      </c>
      <c r="R24" s="2" t="s">
        <v>29</v>
      </c>
    </row>
    <row r="25" spans="1:18" ht="43.5" x14ac:dyDescent="0.35">
      <c r="A25" s="2" t="s">
        <v>228</v>
      </c>
      <c r="B25" s="2" t="s">
        <v>223</v>
      </c>
      <c r="C25" s="2" t="s">
        <v>224</v>
      </c>
      <c r="D25" s="2" t="s">
        <v>20</v>
      </c>
      <c r="E25" s="3">
        <v>48</v>
      </c>
      <c r="F25" s="3">
        <v>33</v>
      </c>
      <c r="G25" s="2" t="s">
        <v>257</v>
      </c>
      <c r="H25" s="4" t="s">
        <v>252</v>
      </c>
      <c r="I25" s="4" t="s">
        <v>252</v>
      </c>
      <c r="J25" s="5"/>
      <c r="K25" s="5"/>
      <c r="L25" s="5" t="s">
        <v>225</v>
      </c>
      <c r="M25" s="6" t="s">
        <v>229</v>
      </c>
      <c r="N25" s="5" t="s">
        <v>229</v>
      </c>
      <c r="O25" s="5"/>
      <c r="P25" s="5" t="s">
        <v>230</v>
      </c>
      <c r="Q25" s="6" t="s">
        <v>231</v>
      </c>
      <c r="R25" s="2" t="s">
        <v>29</v>
      </c>
    </row>
    <row r="26" spans="1:18" ht="116" x14ac:dyDescent="0.35">
      <c r="A26" s="2" t="s">
        <v>253</v>
      </c>
      <c r="B26" s="2" t="s">
        <v>223</v>
      </c>
      <c r="C26" s="2" t="s">
        <v>232</v>
      </c>
      <c r="D26" s="2" t="s">
        <v>20</v>
      </c>
      <c r="E26" s="3">
        <v>48.6</v>
      </c>
      <c r="F26" s="3">
        <v>31.3</v>
      </c>
      <c r="G26" s="2" t="s">
        <v>233</v>
      </c>
      <c r="H26" s="4">
        <v>2023</v>
      </c>
      <c r="I26" s="4">
        <f t="shared" si="0"/>
        <v>3</v>
      </c>
      <c r="J26" s="5" t="s">
        <v>254</v>
      </c>
      <c r="K26" s="5"/>
      <c r="L26" s="5" t="s">
        <v>234</v>
      </c>
      <c r="M26" s="6" t="s">
        <v>235</v>
      </c>
      <c r="N26" s="5" t="s">
        <v>255</v>
      </c>
      <c r="O26" s="5"/>
      <c r="P26" s="5" t="s">
        <v>236</v>
      </c>
      <c r="Q26" s="6" t="s">
        <v>237</v>
      </c>
      <c r="R26" s="2" t="s">
        <v>29</v>
      </c>
    </row>
  </sheetData>
  <hyperlinks>
    <hyperlink ref="M2" r:id="rId1" xr:uid="{93361E25-35B3-4086-9559-4D092AF3CC23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3"/>
  <sheetViews>
    <sheetView workbookViewId="0"/>
  </sheetViews>
  <sheetFormatPr defaultRowHeight="14.5" x14ac:dyDescent="0.35"/>
  <cols>
    <col min="1" max="1" width="120" customWidth="1"/>
  </cols>
  <sheetData>
    <row r="1" spans="1:1" ht="18.5" x14ac:dyDescent="0.35">
      <c r="A1" s="7" t="s">
        <v>238</v>
      </c>
    </row>
    <row r="2" spans="1:1" x14ac:dyDescent="0.35">
      <c r="A2" s="5" t="s">
        <v>239</v>
      </c>
    </row>
    <row r="3" spans="1:1" x14ac:dyDescent="0.35">
      <c r="A3" s="5" t="s">
        <v>240</v>
      </c>
    </row>
    <row r="4" spans="1:1" x14ac:dyDescent="0.35">
      <c r="A4" s="5" t="s">
        <v>241</v>
      </c>
    </row>
    <row r="5" spans="1:1" x14ac:dyDescent="0.35">
      <c r="A5" s="5" t="s">
        <v>242</v>
      </c>
    </row>
    <row r="6" spans="1:1" ht="29" x14ac:dyDescent="0.35">
      <c r="A6" s="5" t="s">
        <v>243</v>
      </c>
    </row>
    <row r="7" spans="1:1" ht="29" x14ac:dyDescent="0.35">
      <c r="A7" s="5" t="s">
        <v>244</v>
      </c>
    </row>
    <row r="8" spans="1:1" x14ac:dyDescent="0.35">
      <c r="A8" s="5" t="s">
        <v>239</v>
      </c>
    </row>
    <row r="9" spans="1:1" x14ac:dyDescent="0.35">
      <c r="A9" s="5" t="s">
        <v>245</v>
      </c>
    </row>
    <row r="10" spans="1:1" x14ac:dyDescent="0.35">
      <c r="A10" s="5" t="s">
        <v>246</v>
      </c>
    </row>
    <row r="11" spans="1:1" ht="29" x14ac:dyDescent="0.35">
      <c r="A11" s="5" t="s">
        <v>247</v>
      </c>
    </row>
    <row r="12" spans="1:1" x14ac:dyDescent="0.35">
      <c r="A12" s="5" t="s">
        <v>239</v>
      </c>
    </row>
    <row r="13" spans="1:1" x14ac:dyDescent="0.35">
      <c r="A13" s="5" t="s">
        <v>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Mines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Siwei</cp:lastModifiedBy>
  <dcterms:modified xsi:type="dcterms:W3CDTF">2026-02-13T11:38:54Z</dcterms:modified>
</cp:coreProperties>
</file>